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40" windowWidth="18195" windowHeight="30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2" i="1" l="1"/>
  <c r="C2" i="1"/>
  <c r="D34" i="1" l="1"/>
  <c r="D32" i="1"/>
  <c r="D28" i="1"/>
  <c r="D26" i="1"/>
  <c r="D22" i="1"/>
  <c r="D20" i="1"/>
  <c r="D16" i="1"/>
  <c r="D14" i="1"/>
  <c r="D10" i="1"/>
  <c r="D8" i="1"/>
  <c r="D4" i="1"/>
  <c r="B34" i="1" l="1"/>
  <c r="C34" i="1" s="1"/>
  <c r="B32" i="1"/>
  <c r="C32" i="1" s="1"/>
  <c r="B28" i="1"/>
  <c r="C28" i="1" s="1"/>
  <c r="B26" i="1"/>
  <c r="C26" i="1" s="1"/>
  <c r="B8" i="1" l="1"/>
  <c r="C8" i="1"/>
  <c r="B22" i="1"/>
  <c r="C22" i="1" s="1"/>
  <c r="B20" i="1"/>
  <c r="C20" i="1" s="1"/>
  <c r="B16" i="1"/>
  <c r="C16" i="1" s="1"/>
  <c r="B14" i="1"/>
  <c r="C14" i="1" s="1"/>
  <c r="B10" i="1" l="1"/>
  <c r="C10" i="1" s="1"/>
  <c r="B4" i="1" l="1"/>
  <c r="C4" i="1" s="1"/>
  <c r="B2" i="1"/>
</calcChain>
</file>

<file path=xl/sharedStrings.xml><?xml version="1.0" encoding="utf-8"?>
<sst xmlns="http://schemas.openxmlformats.org/spreadsheetml/2006/main" count="37" uniqueCount="12">
  <si>
    <t>d</t>
  </si>
  <si>
    <t>r</t>
  </si>
  <si>
    <t>FEMALE</t>
  </si>
  <si>
    <t>MALE</t>
  </si>
  <si>
    <t>Log Odds B</t>
  </si>
  <si>
    <t>YESSING, EARNING PROSPECTS</t>
  </si>
  <si>
    <t>Get to know better, EARNING PROSPECTS</t>
  </si>
  <si>
    <t>Yessing, Attractiveness</t>
  </si>
  <si>
    <t>Get to know better, attractiveness</t>
  </si>
  <si>
    <t>Yessing, Personable</t>
  </si>
  <si>
    <t>Get to know better, personable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</si>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</sst>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F7" sqref="F7"/>
    </sheetView>
  </sheetViews>
  <sheetFormatPr defaultRowHeight="15" x14ac:dyDescent="0.25"/>
  <cols>
    <col min="1" max="1" width="13.42578125" customWidth="1"/>
    <col min="4" max="4" width="9.140625" style="1"/>
  </cols>
  <sheetData>
    <row r="1" spans="1:7" x14ac:dyDescent="0.25">
      <c r="A1" t="s">
        <v>4</v>
      </c>
      <c r="B1" t="s">
        <v>0</v>
      </c>
      <c r="C1" t="s">
        <v>1</v>
      </c>
      <c r="D1" s="1" t="s">
        <v>11</v>
      </c>
    </row>
    <row r="2" spans="1:7" x14ac:dyDescent="0.25">
      <c r="A2">
        <v>0.29799999999999999</v>
      </c>
      <c r="B2">
        <f>A2*(SQRT(3))/(PI())</f>
        <v>0.16429601083569401</v>
      </c>
      <c r="C2">
        <f>SQRT((B2*B2)/(4+(B2*B2)))</f>
        <v>8.1872220962987852E-2</v>
      </c>
      <c r="D2" s="1">
        <f>((1-C2*C2)*(1-C2*C2)) / (1260-2)</f>
        <v>7.8429158178864797E-4</v>
      </c>
      <c r="E2" t="s">
        <v>3</v>
      </c>
    </row>
    <row r="3" spans="1:7" x14ac:dyDescent="0.25">
      <c r="G3" t="s">
        <v>5</v>
      </c>
    </row>
    <row r="4" spans="1:7" x14ac:dyDescent="0.25">
      <c r="A4">
        <v>0.23300000000000001</v>
      </c>
      <c r="B4">
        <f>A4*(SQRT(3))/(PI())</f>
        <v>0.12845963263327756</v>
      </c>
      <c r="C4">
        <f>SQRT((B4*B4)/(4+(B4*B4)))</f>
        <v>6.4097735779273107E-2</v>
      </c>
      <c r="D4" s="1">
        <f>((1-C4*C4)*(1-C4*C4)) / (1246-2)</f>
        <v>7.9726675278965389E-4</v>
      </c>
      <c r="E4" t="s">
        <v>2</v>
      </c>
    </row>
    <row r="7" spans="1:7" x14ac:dyDescent="0.25">
      <c r="A7" t="s">
        <v>4</v>
      </c>
      <c r="B7" t="s">
        <v>0</v>
      </c>
      <c r="C7" t="s">
        <v>1</v>
      </c>
    </row>
    <row r="8" spans="1:7" x14ac:dyDescent="0.25">
      <c r="A8">
        <v>0.41399999999999998</v>
      </c>
      <c r="B8">
        <f>A8*(SQRT(3))/(PI())</f>
        <v>0.2282501627046219</v>
      </c>
      <c r="C8">
        <f>SQRT((B8*B8)/(4+(B8*B8)))</f>
        <v>0.11338905043172753</v>
      </c>
      <c r="D8" s="1">
        <f>((1-C8*C8)*(1-C8*C8)) / (514-2)</f>
        <v>1.9032249041155047E-3</v>
      </c>
      <c r="E8" t="s">
        <v>3</v>
      </c>
    </row>
    <row r="9" spans="1:7" x14ac:dyDescent="0.25">
      <c r="G9" t="s">
        <v>6</v>
      </c>
    </row>
    <row r="10" spans="1:7" x14ac:dyDescent="0.25">
      <c r="A10">
        <v>0.33500000000000002</v>
      </c>
      <c r="B10">
        <f>A10*(SQRT(3))/(PI())</f>
        <v>0.18469517996630036</v>
      </c>
      <c r="C10">
        <f>SQRT((B10*B10)/(4+(B10*B10)))</f>
        <v>9.1956317119683717E-2</v>
      </c>
      <c r="D10" s="1">
        <f>((1-C10*C10)*(1-C10*C10)) / (614-2)</f>
        <v>1.606469893488733E-3</v>
      </c>
      <c r="E10" t="s">
        <v>2</v>
      </c>
    </row>
    <row r="13" spans="1:7" x14ac:dyDescent="0.25">
      <c r="A13" t="s">
        <v>4</v>
      </c>
      <c r="B13" t="s">
        <v>0</v>
      </c>
      <c r="C13" t="s">
        <v>1</v>
      </c>
    </row>
    <row r="14" spans="1:7" x14ac:dyDescent="0.25">
      <c r="A14">
        <v>0.79700000000000004</v>
      </c>
      <c r="B14">
        <f>A14*(SQRT(3))/(PI())</f>
        <v>0.4394091296511683</v>
      </c>
      <c r="C14">
        <f>SQRT((B14*B14)/(4+(B14*B14)))</f>
        <v>0.21458654235577607</v>
      </c>
      <c r="D14" s="1">
        <f>((1-C14*C14)*(1-C14*C14)) / (1268-2)</f>
        <v>7.1881958393963915E-4</v>
      </c>
      <c r="E14" t="s">
        <v>3</v>
      </c>
      <c r="G14" t="s">
        <v>7</v>
      </c>
    </row>
    <row r="16" spans="1:7" x14ac:dyDescent="0.25">
      <c r="A16">
        <v>0.67</v>
      </c>
      <c r="B16">
        <f>A16*(SQRT(3))/(PI())</f>
        <v>0.36939035993260072</v>
      </c>
      <c r="C16">
        <f>SQRT((B16*B16)/(4+(B16*B16)))</f>
        <v>0.18162336085178374</v>
      </c>
      <c r="D16" s="1">
        <f>((1-C16*C16)*(1-C16*C16)) / (1257-2)</f>
        <v>7.4511080058749051E-4</v>
      </c>
      <c r="E16" t="s">
        <v>2</v>
      </c>
    </row>
    <row r="19" spans="1:7" x14ac:dyDescent="0.25">
      <c r="A19" t="s">
        <v>4</v>
      </c>
      <c r="B19" t="s">
        <v>0</v>
      </c>
      <c r="C19" t="s">
        <v>1</v>
      </c>
    </row>
    <row r="20" spans="1:7" x14ac:dyDescent="0.25">
      <c r="A20">
        <v>0.30099999999999999</v>
      </c>
      <c r="B20">
        <f>A20*(SQRT(3))/(PI())</f>
        <v>0.16594999752195941</v>
      </c>
      <c r="C20">
        <f>SQRT((B20*B20)/(4+(B20*B20)))</f>
        <v>8.269083003884517E-2</v>
      </c>
      <c r="D20" s="1">
        <f>((1-C20*C20)*(1-C20*C20)) / (471-2)</f>
        <v>2.1031369049033426E-3</v>
      </c>
      <c r="E20" t="s">
        <v>3</v>
      </c>
      <c r="G20" t="s">
        <v>8</v>
      </c>
    </row>
    <row r="22" spans="1:7" x14ac:dyDescent="0.25">
      <c r="A22">
        <v>0.28499999999999998</v>
      </c>
      <c r="B22">
        <f>A22*(SQRT(3))/(PI())</f>
        <v>0.15712873519521073</v>
      </c>
      <c r="C22">
        <f>SQRT((B22*B22)/(4+(B22*B22)))</f>
        <v>7.8323020511158747E-2</v>
      </c>
      <c r="D22" s="1">
        <f>((1-C22*C22)*(1-C22*C22)) / (601-2)</f>
        <v>1.6490294506704038E-3</v>
      </c>
      <c r="E22" t="s">
        <v>2</v>
      </c>
    </row>
    <row r="25" spans="1:7" x14ac:dyDescent="0.25">
      <c r="A25" t="s">
        <v>4</v>
      </c>
      <c r="B25" t="s">
        <v>0</v>
      </c>
      <c r="C25" t="s">
        <v>1</v>
      </c>
    </row>
    <row r="26" spans="1:7" x14ac:dyDescent="0.25">
      <c r="A26">
        <v>0.73</v>
      </c>
      <c r="B26">
        <f>A26*(SQRT(3))/(PI())</f>
        <v>0.40247009365790815</v>
      </c>
      <c r="C26">
        <f>SQRT((B26*B26)/(4+(B26*B26)))</f>
        <v>0.19728020329190357</v>
      </c>
      <c r="D26" s="1">
        <f>((1-C26*C26)*(1-C26*C26)) / (1257-2)</f>
        <v>7.3599662836139779E-4</v>
      </c>
      <c r="E26" t="s">
        <v>3</v>
      </c>
      <c r="G26" t="s">
        <v>9</v>
      </c>
    </row>
    <row r="28" spans="1:7" x14ac:dyDescent="0.25">
      <c r="A28">
        <v>0.69</v>
      </c>
      <c r="B28">
        <f>A28*(SQRT(3))/(PI())</f>
        <v>0.38041693784103647</v>
      </c>
      <c r="C28">
        <f>SQRT((B28*B28)/(4+(B28*B28)))</f>
        <v>0.18685830359486433</v>
      </c>
      <c r="D28" s="1">
        <f>((1-C28*C28)*(1-C28*C28)) / (1251-2)</f>
        <v>7.4570622706209737E-4</v>
      </c>
      <c r="E28" t="s">
        <v>2</v>
      </c>
    </row>
    <row r="31" spans="1:7" x14ac:dyDescent="0.25">
      <c r="A31" t="s">
        <v>4</v>
      </c>
      <c r="B31" t="s">
        <v>0</v>
      </c>
      <c r="C31" t="s">
        <v>1</v>
      </c>
    </row>
    <row r="32" spans="1:7" x14ac:dyDescent="0.25">
      <c r="A32">
        <v>0.56999999999999995</v>
      </c>
      <c r="B32">
        <f>A32*(SQRT(3))/(PI())</f>
        <v>0.31425747039042146</v>
      </c>
      <c r="C32">
        <f>SQRT((B32*B32)/(4+(B32*B32)))</f>
        <v>0.1552242193949647</v>
      </c>
      <c r="D32" s="1">
        <f>((1-C32*C32)*(1-C32*C32)) / (513-2)</f>
        <v>1.8637797087387136E-3</v>
      </c>
      <c r="E32" t="s">
        <v>3</v>
      </c>
      <c r="G32" t="s">
        <v>10</v>
      </c>
    </row>
    <row r="34" spans="1:5" x14ac:dyDescent="0.25">
      <c r="A34">
        <v>0.54</v>
      </c>
      <c r="B34">
        <f>A34*(SQRT(3))/(PI())</f>
        <v>0.29771760352776772</v>
      </c>
      <c r="C34">
        <f>SQRT((B34*B34)/(4+(B34*B34)))</f>
        <v>0.14723643807654932</v>
      </c>
      <c r="D34" s="1">
        <f>((1-C34*C34)*(1-C34*C34)) / (617-2)</f>
        <v>1.5562810129200518E-3</v>
      </c>
      <c r="E3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Mackinnon</dc:creator>
  <cp:lastModifiedBy>Sean Mackinnon</cp:lastModifiedBy>
  <dcterms:created xsi:type="dcterms:W3CDTF">2014-03-02T14:53:35Z</dcterms:created>
  <dcterms:modified xsi:type="dcterms:W3CDTF">2015-03-26T14:15:30Z</dcterms:modified>
</cp:coreProperties>
</file>